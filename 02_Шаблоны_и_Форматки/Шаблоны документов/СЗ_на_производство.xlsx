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C36" lockStructure="1"/>
  <bookViews>
    <workbookView visibility="visible" minimized="0" showHorizontalScroll="1" showVerticalScroll="1" showSheetTabs="1" tabRatio="600" firstSheet="0" activeTab="1" autoFilterDateGrouping="1"/>
  </bookViews>
  <sheets>
    <sheet name="Данные" sheetId="1" state="hidden" r:id="rId1"/>
    <sheet name="1 Заготовка" sheetId="2" state="visible" r:id="rId2"/>
    <sheet name="2 Сварка" sheetId="3" state="visible" r:id="rId3"/>
    <sheet name="3 Покраска" sheetId="4" state="visible" r:id="rId4"/>
    <sheet name="4 Комплектация" sheetId="5" state="visible" r:id="rId5"/>
    <sheet name="5 Списание" sheetId="6" state="visible" r:id="rId6"/>
  </sheets>
  <definedNames>
    <definedName name="_xlnm.Print_Titles" localSheetId="1">'1 Заготовка'!$1:$7</definedName>
    <definedName name="_xlnm.Print_Area" localSheetId="1">'1 Заготовка'!$A$1:$H$20</definedName>
    <definedName name="_xlnm.Print_Titles" localSheetId="2">'2 Сварка'!$1:$7</definedName>
    <definedName name="_xlnm.Print_Area" localSheetId="2">'2 Сварка'!$A$1:$H$21</definedName>
    <definedName name="_xlnm.Print_Titles" localSheetId="3">'3 Покраска'!$1:$7</definedName>
    <definedName name="_xlnm.Print_Area" localSheetId="3">'3 Покраска'!$A$1:$H$21</definedName>
    <definedName name="_xlnm.Print_Titles" localSheetId="4">'4 Комплектация'!$1:$7</definedName>
    <definedName name="_xlnm.Print_Area" localSheetId="4">'4 Комплектация'!$A$1:$G$18</definedName>
    <definedName name="_xlnm.Print_Titles" localSheetId="5">'5 Списание'!$1:$7</definedName>
    <definedName name="_xlnm.Print_Area" localSheetId="5">'5 Списание'!$A$1:$I$19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;-0;;@"/>
    <numFmt numFmtId="166" formatCode="0.0;-0.0;;@"/>
    <numFmt numFmtId="167" formatCode="0.00;-0.00;;@"/>
    <numFmt numFmtId="168" formatCode="0.0%"/>
    <numFmt numFmtId="169" formatCode="0.0%;-0.0%;;@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color rgb="00404040"/>
      <sz val="9"/>
    </font>
    <font>
      <name val="Arial"/>
      <b val="1"/>
      <sz val="9"/>
    </font>
    <font>
      <name val="Arial"/>
      <sz val="9"/>
    </font>
    <font>
      <name val="Arial"/>
      <color rgb="00303030"/>
      <sz val="9"/>
    </font>
  </fonts>
  <fills count="3">
    <fill>
      <patternFill/>
    </fill>
    <fill>
      <patternFill patternType="gray125"/>
    </fill>
    <fill>
      <patternFill patternType="solid">
        <fgColor rgb="00E3E7E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shrinkToFit="1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shrinkToFi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1" fontId="7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165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166" fontId="6" fillId="2" borderId="1" applyAlignment="1" pivotButton="0" quotePrefix="0" xfId="0">
      <alignment horizontal="left" vertical="center" wrapText="1"/>
    </xf>
    <xf numFmtId="165" fontId="6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8" fillId="0" borderId="0" applyAlignment="1" pivotButton="0" quotePrefix="0" xfId="0">
      <alignment vertical="top" wrapText="1" indent="1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2" fontId="7" fillId="0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167" fontId="7" fillId="0" borderId="1" applyAlignment="1" pivotButton="0" quotePrefix="0" xfId="0">
      <alignment horizontal="right" vertical="center" wrapText="1"/>
    </xf>
    <xf numFmtId="167" fontId="6" fillId="2" borderId="1" applyAlignment="1" pivotButton="0" quotePrefix="0" xfId="0">
      <alignment horizontal="left" vertical="center" wrapText="1"/>
    </xf>
    <xf numFmtId="167" fontId="6" fillId="2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168" fontId="7" fillId="0" borderId="1" applyAlignment="1" pivotButton="0" quotePrefix="0" xfId="0">
      <alignment horizontal="right" vertical="center" wrapText="1"/>
    </xf>
    <xf numFmtId="166" fontId="6" fillId="2" borderId="1" applyAlignment="1" pivotButton="0" quotePrefix="0" xfId="0">
      <alignment horizontal="right" vertical="center" wrapText="1"/>
    </xf>
    <xf numFmtId="169" fontId="6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Фирма</t>
        </is>
      </c>
      <c r="B1" s="2" t="inlineStr">
        <is>
          <t>ТОО «Компания TROYA»</t>
        </is>
      </c>
    </row>
    <row r="2">
      <c r="A2" s="1" t="inlineStr">
        <is>
          <t>Дата</t>
        </is>
      </c>
      <c r="B2" s="2" t="inlineStr"/>
    </row>
    <row r="3">
      <c r="A3" s="1" t="inlineStr">
        <is>
          <t>№ заявки</t>
        </is>
      </c>
      <c r="B3" s="2" t="inlineStr"/>
    </row>
    <row r="4">
      <c r="A4" s="1" t="inlineStr">
        <is>
          <t>Нач. КТО</t>
        </is>
      </c>
      <c r="B4" s="2" t="inlineStr"/>
    </row>
    <row r="5">
      <c r="A5" s="1" t="inlineStr">
        <is>
          <t>Изделие</t>
        </is>
      </c>
      <c r="B5" s="2" t="inlineStr"/>
    </row>
    <row r="6">
      <c r="A6" s="1" t="inlineStr">
        <is>
          <t>Шифр</t>
        </is>
      </c>
      <c r="B6" s="2" t="inlineStr"/>
    </row>
    <row r="7">
      <c r="A7" s="1" t="inlineStr">
        <is>
          <t>Кол-во</t>
        </is>
      </c>
      <c r="B7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9" customWidth="1" min="3" max="3"/>
    <col width="25" customWidth="1" min="4" max="4"/>
    <col width="9" customWidth="1" min="5" max="5"/>
    <col width="6" customWidth="1" min="6" max="6"/>
    <col width="8" customWidth="1" min="7" max="7"/>
    <col width="22" customWidth="1" min="8" max="8"/>
  </cols>
  <sheetData>
    <row r="1" ht="20" customHeight="1">
      <c r="A1" s="3">
        <f>Данные!B1&amp;" | Производственная заявка"</f>
        <v/>
      </c>
      <c r="H1" s="4">
        <f>"Дата: "&amp;Данные!B2</f>
        <v/>
      </c>
    </row>
    <row r="2" ht="20" customHeight="1">
      <c r="A2" s="5">
        <f>"№ заявки: "&amp;Данные!B3</f>
        <v/>
      </c>
      <c r="G2" s="4">
        <f>"Нач. КТО: "&amp;Данные!B4</f>
        <v/>
      </c>
    </row>
    <row r="3" ht="20" customHeight="1">
      <c r="A3" s="5">
        <f>"Изделие: "&amp;Данные!B5</f>
        <v/>
      </c>
      <c r="E3" s="4">
        <f>"Шифр: "&amp;Данные!B6&amp;"  |  Кол-во: "&amp;Данные!B7&amp;" шт."</f>
        <v/>
      </c>
    </row>
    <row r="4" ht="6" customHeight="1"/>
    <row r="5" ht="18.8" customHeight="1">
      <c r="A5" t="inlineStr">
        <is>
          <r>
            <rPr>
              <rFont val="Arial"/>
              <b val="1"/>
              <color rgb="001F4FD8"/>
              <sz val="12"/>
            </rPr>
            <t xml:space="preserve">ЛИСТ 1  </t>
          </r>
          <r>
            <rPr>
              <rFont val="Arial"/>
              <b val="1"/>
              <sz val="12"/>
            </rPr>
            <t>1. ЦЕХ МЕТАЛЛОИЗДЕЛИЙ (Заготовительный участок: лазерная резка, гибка)</t>
          </r>
        </is>
      </c>
    </row>
    <row r="6">
      <c r="A6" s="6" t="inlineStr">
        <is>
          <t>Спецификация чистых заготовок на тираж (лазерная резка листа и трубы, гибка)</t>
        </is>
      </c>
    </row>
    <row r="7" ht="26.8" customHeight="1">
      <c r="A7" s="7" t="inlineStr">
        <is>
          <t>№</t>
        </is>
      </c>
      <c r="B7" s="7" t="inlineStr">
        <is>
          <t>Обозначение</t>
        </is>
      </c>
      <c r="C7" s="7" t="inlineStr">
        <is>
          <t>Наименование детали</t>
        </is>
      </c>
      <c r="D7" s="7" t="inlineStr">
        <is>
          <t>Сортамент / Материал</t>
        </is>
      </c>
      <c r="E7" s="7" t="inlineStr">
        <is>
          <t>L, мм</t>
        </is>
      </c>
      <c r="F7" s="7" t="inlineStr">
        <is>
          <t>На 1</t>
        </is>
      </c>
      <c r="G7" s="7" t="inlineStr">
        <is>
          <t>Всего, шт</t>
        </is>
      </c>
      <c r="H7" s="7" t="inlineStr">
        <is>
          <t>Операция</t>
        </is>
      </c>
    </row>
    <row r="8" ht="14" customHeight="1">
      <c r="A8" s="8" t="n"/>
      <c r="B8" s="9" t="n"/>
      <c r="C8" s="10" t="n"/>
      <c r="D8" s="10" t="n"/>
      <c r="E8" s="11" t="n"/>
      <c r="F8" s="12" t="n"/>
      <c r="G8" s="13">
        <f>IF(F8="","",F8*Данные!$B$7)</f>
        <v/>
      </c>
      <c r="H8" s="10" t="n"/>
    </row>
    <row r="9" ht="14" customHeight="1">
      <c r="A9" s="8" t="n"/>
      <c r="B9" s="9" t="n"/>
      <c r="C9" s="10" t="n"/>
      <c r="D9" s="10" t="n"/>
      <c r="E9" s="11" t="n"/>
      <c r="F9" s="12" t="n"/>
      <c r="G9" s="13">
        <f>IF(F9="","",F9*Данные!$B$7)</f>
        <v/>
      </c>
      <c r="H9" s="10" t="n"/>
    </row>
    <row r="10" ht="14" customHeight="1">
      <c r="A10" s="8" t="n"/>
      <c r="B10" s="9" t="n"/>
      <c r="C10" s="10" t="n"/>
      <c r="D10" s="10" t="n"/>
      <c r="E10" s="11" t="n"/>
      <c r="F10" s="12" t="n"/>
      <c r="G10" s="13">
        <f>IF(F10="","",F10*Данные!$B$7)</f>
        <v/>
      </c>
      <c r="H10" s="10" t="n"/>
    </row>
    <row r="11" ht="14" customHeight="1">
      <c r="A11" s="8" t="n"/>
      <c r="B11" s="9" t="n"/>
      <c r="C11" s="10" t="n"/>
      <c r="D11" s="10" t="n"/>
      <c r="E11" s="11" t="n"/>
      <c r="F11" s="12" t="n"/>
      <c r="G11" s="13">
        <f>IF(F11="","",F11*Данные!$B$7)</f>
        <v/>
      </c>
      <c r="H11" s="10" t="n"/>
    </row>
    <row r="12" ht="14" customHeight="1">
      <c r="A12" s="8" t="n"/>
      <c r="B12" s="9" t="n"/>
      <c r="C12" s="10" t="n"/>
      <c r="D12" s="10" t="n"/>
      <c r="E12" s="11" t="n"/>
      <c r="F12" s="12" t="n"/>
      <c r="G12" s="13">
        <f>IF(F12="","",F12*Данные!$B$7)</f>
        <v/>
      </c>
      <c r="H12" s="10" t="n"/>
    </row>
    <row r="13" ht="18" customHeight="1">
      <c r="A13" s="14">
        <f>"ИТОГО ЗАГОТОВОК НА ЗАКАЗ ("&amp;Данные!$B$7&amp;" шт.)"</f>
        <v/>
      </c>
      <c r="B13" s="15" t="n"/>
      <c r="C13" s="15" t="n"/>
      <c r="D13" s="15" t="n"/>
      <c r="E13" s="16" t="n"/>
      <c r="F13" s="17">
        <f>SUM(F8:F12)</f>
        <v/>
      </c>
      <c r="G13" s="17">
        <f>SUM(G8:G12)</f>
        <v/>
      </c>
      <c r="H13" s="18">
        <f>IF(COUNTA(B8:B12)=0,"",COUNTA(B8:B12)&amp;" типоразм.")</f>
        <v/>
      </c>
    </row>
    <row r="15">
      <c r="A15" s="19" t="inlineStr">
        <is>
          <t>Технологические указания и требования участка:</t>
        </is>
      </c>
    </row>
    <row r="16" ht="26.8" customHeight="1">
      <c r="A16" s="20" t="inlineStr">
        <is>
          <t>•  Трубы и профили резать на лазерном труборезе по файлам IGS, листовые детали — на лазере по чистому контуру DXF из папки 03_ЧПУ изделия.</t>
        </is>
      </c>
    </row>
    <row r="17" ht="14.9" customHeight="1">
      <c r="A17" s="20" t="inlineStr">
        <is>
          <t>•  Перед передачей в сварочный цех снять заусенцы на торцах всех заготовок и зачистить зоны сварных стыков.</t>
        </is>
      </c>
    </row>
    <row r="19">
      <c r="A19" s="21" t="inlineStr">
        <is>
          <t>Нач. КТО:</t>
        </is>
      </c>
      <c r="E19" s="21" t="inlineStr">
        <is>
          <t>Начальник цеха металлоизделий:</t>
        </is>
      </c>
    </row>
    <row r="20" ht="22" customHeight="1">
      <c r="A20" s="22">
        <f>"____________________ / "&amp;Данные!B4</f>
        <v/>
      </c>
      <c r="E20" s="22" t="inlineStr">
        <is>
          <t>____________________ / 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6"/>
  <mergeCells count="16">
    <mergeCell ref="A2:F2"/>
    <mergeCell ref="A1:G1"/>
    <mergeCell ref="A15:H15"/>
    <mergeCell ref="E3:H3"/>
    <mergeCell ref="G2:H2"/>
    <mergeCell ref="E19:H19"/>
    <mergeCell ref="A16:H16"/>
    <mergeCell ref="A3:D3"/>
    <mergeCell ref="A20:D20"/>
    <mergeCell ref="E20:H20"/>
    <mergeCell ref="H1"/>
    <mergeCell ref="A13:E13"/>
    <mergeCell ref="A5:H5"/>
    <mergeCell ref="A19:D19"/>
    <mergeCell ref="A6:H6"/>
    <mergeCell ref="A17:H17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&amp;R&amp;8 &amp;A,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1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 ht="20" customHeight="1">
      <c r="A1" s="3">
        <f>Данные!B1&amp;" | Производственная заявка"</f>
        <v/>
      </c>
      <c r="G1" s="4">
        <f>"Дата: "&amp;Данные!B2</f>
        <v/>
      </c>
    </row>
    <row r="2" ht="20" customHeight="1">
      <c r="A2" s="5">
        <f>"№ заявки: "&amp;Данные!B3</f>
        <v/>
      </c>
      <c r="F2" s="4">
        <f>"Нач. КТО: "&amp;Данные!B4</f>
        <v/>
      </c>
    </row>
    <row r="3" ht="20" customHeight="1">
      <c r="A3" s="5">
        <f>"Изделие: "&amp;Данные!B5</f>
        <v/>
      </c>
      <c r="D3" s="4">
        <f>"Шифр: "&amp;Данные!B6&amp;"  |  Кол-во: "&amp;Данные!B7&amp;" шт."</f>
        <v/>
      </c>
    </row>
    <row r="4" ht="6" customHeight="1"/>
    <row r="5" ht="18.8" customHeight="1">
      <c r="A5" t="inlineStr">
        <is>
          <r>
            <rPr>
              <rFont val="Arial"/>
              <b val="1"/>
              <color rgb="001F4FD8"/>
              <sz val="12"/>
            </rPr>
            <t xml:space="preserve">ЛИСТ 2  </t>
          </r>
          <r>
            <rPr>
              <rFont val="Arial"/>
              <b val="1"/>
              <sz val="12"/>
            </rPr>
            <t>2. СВАРОЧНО-СБОРОЧНЫЙ ЦЕХ</t>
          </r>
        </is>
      </c>
    </row>
    <row r="6">
      <c r="A6" s="6" t="inlineStr">
        <is>
          <t>Сборочные единицы: сварная и механическая сборка, масса конструкций</t>
        </is>
      </c>
    </row>
    <row r="7" ht="26.8" customHeight="1">
      <c r="A7" s="7" t="inlineStr">
        <is>
          <t>№</t>
        </is>
      </c>
      <c r="B7" s="7" t="inlineStr">
        <is>
          <t>Обозначение узла</t>
        </is>
      </c>
      <c r="C7" s="7" t="inlineStr">
        <is>
          <t>Наименование сборочной единицы</t>
        </is>
      </c>
      <c r="D7" s="7" t="inlineStr">
        <is>
          <t>Операция</t>
        </is>
      </c>
      <c r="E7" s="7" t="inlineStr">
        <is>
          <t>Масса 1 шт, кг</t>
        </is>
      </c>
      <c r="F7" s="7" t="inlineStr">
        <is>
          <t>На 1 изд</t>
        </is>
      </c>
      <c r="G7" s="7" t="inlineStr">
        <is>
          <t>Всего на тираж</t>
        </is>
      </c>
      <c r="H7" s="7" t="inlineStr">
        <is>
          <t>Общая масса, кг</t>
        </is>
      </c>
    </row>
    <row r="8" ht="14" customHeight="1">
      <c r="A8" s="8" t="n"/>
      <c r="B8" s="9" t="n"/>
      <c r="C8" s="10" t="n"/>
      <c r="D8" s="10" t="n"/>
      <c r="E8" s="23" t="n"/>
      <c r="F8" s="12" t="n"/>
      <c r="G8" s="24">
        <f>IF(F8="","",F8*Данные!$B$7)</f>
        <v/>
      </c>
      <c r="H8" s="25">
        <f>IF(G8="","",E8*G8)</f>
        <v/>
      </c>
    </row>
    <row r="9" ht="14" customHeight="1">
      <c r="A9" s="8" t="n"/>
      <c r="B9" s="9" t="n"/>
      <c r="C9" s="10" t="n"/>
      <c r="D9" s="10" t="n"/>
      <c r="E9" s="23" t="n"/>
      <c r="F9" s="12" t="n"/>
      <c r="G9" s="24">
        <f>IF(F9="","",F9*Данные!$B$7)</f>
        <v/>
      </c>
      <c r="H9" s="25">
        <f>IF(G9="","",E9*G9)</f>
        <v/>
      </c>
    </row>
    <row r="10" ht="14" customHeight="1">
      <c r="A10" s="8" t="n"/>
      <c r="B10" s="9" t="n"/>
      <c r="C10" s="10" t="n"/>
      <c r="D10" s="10" t="n"/>
      <c r="E10" s="23" t="n"/>
      <c r="F10" s="12" t="n"/>
      <c r="G10" s="24">
        <f>IF(F10="","",F10*Данные!$B$7)</f>
        <v/>
      </c>
      <c r="H10" s="25">
        <f>IF(G10="","",E10*G10)</f>
        <v/>
      </c>
    </row>
    <row r="11" ht="14" customHeight="1">
      <c r="A11" s="8" t="n"/>
      <c r="B11" s="9" t="n"/>
      <c r="C11" s="10" t="n"/>
      <c r="D11" s="10" t="n"/>
      <c r="E11" s="23" t="n"/>
      <c r="F11" s="12" t="n"/>
      <c r="G11" s="24">
        <f>IF(F11="","",F11*Данные!$B$7)</f>
        <v/>
      </c>
      <c r="H11" s="25">
        <f>IF(G11="","",E11*G11)</f>
        <v/>
      </c>
    </row>
    <row r="12" ht="14" customHeight="1">
      <c r="A12" s="8" t="n"/>
      <c r="B12" s="9" t="n"/>
      <c r="C12" s="10" t="n"/>
      <c r="D12" s="10" t="n"/>
      <c r="E12" s="23" t="n"/>
      <c r="F12" s="12" t="n"/>
      <c r="G12" s="24">
        <f>IF(F12="","",F12*Данные!$B$7)</f>
        <v/>
      </c>
      <c r="H12" s="25">
        <f>IF(G12="","",E12*G12)</f>
        <v/>
      </c>
    </row>
    <row r="13" ht="18" customHeight="1">
      <c r="A13" s="14" t="inlineStr">
        <is>
          <t>ИТОГО СБОРОЧНЫХ ЕДИНИЦ НА ЗАКАЗ</t>
        </is>
      </c>
      <c r="B13" s="15" t="n"/>
      <c r="C13" s="15" t="n"/>
      <c r="D13" s="15" t="n"/>
      <c r="E13" s="26" t="n"/>
      <c r="F13" s="17">
        <f>SUM(F8:F12)</f>
        <v/>
      </c>
      <c r="G13" s="17">
        <f>SUM(G8:G12)</f>
        <v/>
      </c>
      <c r="H13" s="27">
        <f>SUM(H8:H12)</f>
        <v/>
      </c>
    </row>
    <row r="15">
      <c r="A15" s="19" t="inlineStr">
        <is>
          <t>Технологические указания и требования участка:</t>
        </is>
      </c>
    </row>
    <row r="16" ht="26.8" customHeight="1">
      <c r="A16" s="20" t="inlineStr">
        <is>
          <t>•  Сварка полуавтоматическая в среде защитных газов (80% Ar + 20% CO2) сварочной проволокой Св-08Г2С ø0.8 мм по ГОСТ 14771-76.</t>
        </is>
      </c>
    </row>
    <row r="17" ht="14.9" customHeight="1">
      <c r="A17" s="20" t="inlineStr">
        <is>
          <t>•  Сварные швы сплошные, катет шва 2.0...3.0 мм. Не допускаются непровары, прожоги тонкостенных труб и наплывы металла.</t>
        </is>
      </c>
    </row>
    <row r="18" ht="14.9" customHeight="1">
      <c r="A18" s="20" t="inlineStr">
        <is>
          <t>•  Все лицевые сварные швы зачистить лепестковым кругом заподлицо с плоскостью труб под полимерную покраску.</t>
        </is>
      </c>
    </row>
    <row r="20">
      <c r="A20" s="21" t="inlineStr">
        <is>
          <t>Нач. КТО:</t>
        </is>
      </c>
      <c r="E20" s="21" t="inlineStr">
        <is>
          <t>Начальник сварочного цеха:</t>
        </is>
      </c>
    </row>
    <row r="21" ht="22" customHeight="1">
      <c r="A21" s="22">
        <f>"____________________ / "&amp;Данные!B4</f>
        <v/>
      </c>
      <c r="E21" s="22" t="inlineStr">
        <is>
          <t>____________________ / 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6"/>
  <mergeCells count="17">
    <mergeCell ref="A18:H18"/>
    <mergeCell ref="A15:H15"/>
    <mergeCell ref="A2:E2"/>
    <mergeCell ref="G1:H1"/>
    <mergeCell ref="A1:F1"/>
    <mergeCell ref="A16:H16"/>
    <mergeCell ref="A20:D20"/>
    <mergeCell ref="A21:D21"/>
    <mergeCell ref="E20:H20"/>
    <mergeCell ref="E21:H21"/>
    <mergeCell ref="A3:C3"/>
    <mergeCell ref="F2:H2"/>
    <mergeCell ref="A13:E13"/>
    <mergeCell ref="A5:H5"/>
    <mergeCell ref="A6:H6"/>
    <mergeCell ref="D3:H3"/>
    <mergeCell ref="A17:H17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&amp;R&amp;8 &amp;A,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16" customWidth="1" min="4" max="4"/>
    <col width="8" customWidth="1" min="5" max="5"/>
    <col width="7" customWidth="1" min="6" max="6"/>
    <col width="8" customWidth="1" min="7" max="7"/>
    <col width="18" customWidth="1" min="8" max="8"/>
  </cols>
  <sheetData>
    <row r="1" ht="20" customHeight="1">
      <c r="A1" s="3">
        <f>Данные!B1&amp;" | Производственная заявка"</f>
        <v/>
      </c>
      <c r="G1" s="4">
        <f>"Дата: "&amp;Данные!B2</f>
        <v/>
      </c>
    </row>
    <row r="2" ht="20" customHeight="1">
      <c r="A2" s="5">
        <f>"№ заявки: "&amp;Данные!B3</f>
        <v/>
      </c>
      <c r="F2" s="4">
        <f>"Нач. КТО: "&amp;Данные!B4</f>
        <v/>
      </c>
    </row>
    <row r="3" ht="20" customHeight="1">
      <c r="A3" s="5">
        <f>"Изделие: "&amp;Данные!B5</f>
        <v/>
      </c>
      <c r="D3" s="4">
        <f>"Шифр: "&amp;Данные!B6&amp;"  |  Кол-во: "&amp;Данные!B7&amp;" шт."</f>
        <v/>
      </c>
    </row>
    <row r="4" ht="6" customHeight="1"/>
    <row r="5" ht="18.8" customHeight="1">
      <c r="A5" t="inlineStr">
        <is>
          <r>
            <rPr>
              <rFont val="Arial"/>
              <b val="1"/>
              <color rgb="001F4FD8"/>
              <sz val="12"/>
            </rPr>
            <t xml:space="preserve">ЛИСТ 3  </t>
          </r>
          <r>
            <rPr>
              <rFont val="Arial"/>
              <b val="1"/>
              <sz val="12"/>
            </rPr>
            <t>3. УЧАСТОК ПОЛИМЕРНО-ПОРОШКОВОЙ ПОКРАСКИ</t>
          </r>
        </is>
      </c>
    </row>
    <row r="6">
      <c r="A6" s="6" t="inlineStr">
        <is>
          <t>Ведомость окрашиваемых единиц по цветовым исполнениям заказа</t>
        </is>
      </c>
    </row>
    <row r="7" ht="26.8" customHeight="1">
      <c r="A7" s="7" t="inlineStr">
        <is>
          <t>№</t>
        </is>
      </c>
      <c r="B7" s="7" t="inlineStr">
        <is>
          <t>Обозначение узла</t>
        </is>
      </c>
      <c r="C7" s="7" t="inlineStr">
        <is>
          <t>Наименование сборочной единицы</t>
        </is>
      </c>
      <c r="D7" s="7" t="inlineStr">
        <is>
          <t>Цветовое исполнение</t>
        </is>
      </c>
      <c r="E7" s="7" t="inlineStr">
        <is>
          <t>Изделий</t>
        </is>
      </c>
      <c r="F7" s="7" t="inlineStr">
        <is>
          <t>На 1 изд</t>
        </is>
      </c>
      <c r="G7" s="7" t="inlineStr">
        <is>
          <t>Всего</t>
        </is>
      </c>
      <c r="H7" s="7" t="inlineStr">
        <is>
          <t>Цвет покрытия</t>
        </is>
      </c>
    </row>
    <row r="8" ht="14" customHeight="1">
      <c r="A8" s="8" t="n"/>
      <c r="B8" s="9" t="n"/>
      <c r="C8" s="10" t="n"/>
      <c r="D8" s="10" t="n"/>
      <c r="E8" s="24">
        <f>IF(B8="","",Данные!$B$7)</f>
        <v/>
      </c>
      <c r="F8" s="12" t="n"/>
      <c r="G8" s="24">
        <f>IF(F8="","",E8*F8)</f>
        <v/>
      </c>
      <c r="H8" s="9" t="n"/>
    </row>
    <row r="9" ht="14" customHeight="1">
      <c r="A9" s="8" t="n"/>
      <c r="B9" s="9" t="n"/>
      <c r="C9" s="10" t="n"/>
      <c r="D9" s="10" t="n"/>
      <c r="E9" s="24">
        <f>IF(B9="","",Данные!$B$7)</f>
        <v/>
      </c>
      <c r="F9" s="12" t="n"/>
      <c r="G9" s="24">
        <f>IF(F9="","",E9*F9)</f>
        <v/>
      </c>
      <c r="H9" s="9" t="n"/>
    </row>
    <row r="10" ht="14" customHeight="1">
      <c r="A10" s="8" t="n"/>
      <c r="B10" s="9" t="n"/>
      <c r="C10" s="10" t="n"/>
      <c r="D10" s="10" t="n"/>
      <c r="E10" s="24">
        <f>IF(B10="","",Данные!$B$7)</f>
        <v/>
      </c>
      <c r="F10" s="12" t="n"/>
      <c r="G10" s="24">
        <f>IF(F10="","",E10*F10)</f>
        <v/>
      </c>
      <c r="H10" s="9" t="n"/>
    </row>
    <row r="11" ht="14" customHeight="1">
      <c r="A11" s="8" t="n"/>
      <c r="B11" s="9" t="n"/>
      <c r="C11" s="10" t="n"/>
      <c r="D11" s="10" t="n"/>
      <c r="E11" s="24">
        <f>IF(B11="","",Данные!$B$7)</f>
        <v/>
      </c>
      <c r="F11" s="12" t="n"/>
      <c r="G11" s="24">
        <f>IF(F11="","",E11*F11)</f>
        <v/>
      </c>
      <c r="H11" s="9" t="n"/>
    </row>
    <row r="12" ht="14" customHeight="1">
      <c r="A12" s="8" t="n"/>
      <c r="B12" s="9" t="n"/>
      <c r="C12" s="10" t="n"/>
      <c r="D12" s="10" t="n"/>
      <c r="E12" s="24">
        <f>IF(B12="","",Данные!$B$7)</f>
        <v/>
      </c>
      <c r="F12" s="12" t="n"/>
      <c r="G12" s="24">
        <f>IF(F12="","",E12*F12)</f>
        <v/>
      </c>
      <c r="H12" s="9" t="n"/>
    </row>
    <row r="13" ht="18" customHeight="1">
      <c r="A13" s="14" t="inlineStr">
        <is>
          <t>ИТОГО НА ПОКРАСКУ</t>
        </is>
      </c>
      <c r="B13" s="15" t="n"/>
      <c r="C13" s="15" t="n"/>
      <c r="D13" s="15" t="n"/>
      <c r="E13" s="14" t="n"/>
      <c r="F13" s="17">
        <f>SUM(F8:F12)</f>
        <v/>
      </c>
      <c r="G13" s="17">
        <f>SUM(G8:G12)</f>
        <v/>
      </c>
      <c r="H13" s="18" t="n"/>
    </row>
    <row r="15">
      <c r="A15" s="19" t="inlineStr">
        <is>
          <t>Технологические указания и требования участка:</t>
        </is>
      </c>
    </row>
    <row r="16" ht="26.8" customHeight="1">
      <c r="A16" s="20" t="inlineStr">
        <is>
          <t>•  Требования к внешнему виду: покрытие должно быть сплошным, однородным, без непрокрасов, потеков, царапин и механических повреждений.</t>
        </is>
      </c>
    </row>
    <row r="17" ht="26.8" customHeight="1">
      <c r="A17" s="20" t="inlineStr">
        <is>
          <t>•  Контроль качества внешнего вида покрытия производить визуально при естественном или рассеянном искусственном освещении.</t>
        </is>
      </c>
    </row>
    <row r="18" ht="14.9" customHeight="1">
      <c r="A18" s="20" t="inlineStr">
        <is>
          <t>•  Окрашенные сборочные единицы остудить и передать на участок комплектации, фурнитуры и сборки.</t>
        </is>
      </c>
    </row>
    <row r="20">
      <c r="A20" s="21" t="inlineStr">
        <is>
          <t>Нач. КТО:</t>
        </is>
      </c>
      <c r="E20" s="21" t="inlineStr">
        <is>
          <t>Мастер малярного участка:</t>
        </is>
      </c>
    </row>
    <row r="21" ht="22" customHeight="1">
      <c r="A21" s="22">
        <f>"____________________ / "&amp;Данные!B4</f>
        <v/>
      </c>
      <c r="E21" s="22" t="inlineStr">
        <is>
          <t>____________________ / 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6"/>
  <mergeCells count="17">
    <mergeCell ref="A18:H18"/>
    <mergeCell ref="A15:H15"/>
    <mergeCell ref="A2:E2"/>
    <mergeCell ref="G1:H1"/>
    <mergeCell ref="A1:F1"/>
    <mergeCell ref="A16:H16"/>
    <mergeCell ref="A20:D20"/>
    <mergeCell ref="A21:D21"/>
    <mergeCell ref="E20:H20"/>
    <mergeCell ref="E21:H21"/>
    <mergeCell ref="A3:C3"/>
    <mergeCell ref="F2:H2"/>
    <mergeCell ref="A13:E13"/>
    <mergeCell ref="A5:H5"/>
    <mergeCell ref="A6:H6"/>
    <mergeCell ref="D3:H3"/>
    <mergeCell ref="A17:H17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&amp;R&amp;8 &amp;A,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2" customWidth="1" min="3" max="3"/>
    <col width="7" customWidth="1" min="4" max="4"/>
    <col width="8" customWidth="1" min="5" max="5"/>
    <col width="10" customWidth="1" min="6" max="6"/>
    <col width="24" customWidth="1" min="7" max="7"/>
  </cols>
  <sheetData>
    <row r="1" ht="20" customHeight="1">
      <c r="A1" s="3">
        <f>Данные!B1&amp;" | Производственная заявка"</f>
        <v/>
      </c>
      <c r="G1" s="4">
        <f>"Дата: "&amp;Данные!B2</f>
        <v/>
      </c>
    </row>
    <row r="2" ht="20" customHeight="1">
      <c r="A2" s="5">
        <f>"№ заявки: "&amp;Данные!B3</f>
        <v/>
      </c>
      <c r="F2" s="4">
        <f>"Нач. КТО: "&amp;Данные!B4</f>
        <v/>
      </c>
    </row>
    <row r="3" ht="20" customHeight="1">
      <c r="A3" s="5">
        <f>"Изделие: "&amp;Данные!B5</f>
        <v/>
      </c>
      <c r="E3" s="4">
        <f>"Шифр: "&amp;Данные!B6&amp;"  |  Кол-во: "&amp;Данные!B7&amp;" шт."</f>
        <v/>
      </c>
    </row>
    <row r="4" ht="6" customHeight="1"/>
    <row r="5" ht="18.8" customHeight="1">
      <c r="A5" t="inlineStr">
        <is>
          <r>
            <rPr>
              <rFont val="Arial"/>
              <b val="1"/>
              <color rgb="001F4FD8"/>
              <sz val="12"/>
            </rPr>
            <t xml:space="preserve">ЛИСТ 4  </t>
          </r>
          <r>
            <rPr>
              <rFont val="Arial"/>
              <b val="1"/>
              <sz val="12"/>
            </rPr>
            <t>4. СКЛАД ТМЦ И УЧАСТОК КОМПЛЕКТАЦИИ (Фурнитура и покупные изделия)</t>
          </r>
        </is>
      </c>
    </row>
    <row r="6">
      <c r="A6" s="6" t="inlineStr">
        <is>
          <t>Комплектовочная ведомость покупной фурнитуры, комплектующих и настила</t>
        </is>
      </c>
    </row>
    <row r="7" ht="26.8" customHeight="1">
      <c r="A7" s="7" t="inlineStr">
        <is>
          <t>№</t>
        </is>
      </c>
      <c r="B7" s="7" t="inlineStr">
        <is>
          <t>Код 1С</t>
        </is>
      </c>
      <c r="C7" s="7" t="inlineStr">
        <is>
          <t>Номенклатура ТМЦ</t>
        </is>
      </c>
      <c r="D7" s="7" t="inlineStr">
        <is>
          <t>Ед. изм.</t>
        </is>
      </c>
      <c r="E7" s="7" t="inlineStr">
        <is>
          <t>На 1 изд</t>
        </is>
      </c>
      <c r="F7" s="7" t="inlineStr">
        <is>
          <t>Всего на тираж</t>
        </is>
      </c>
      <c r="G7" s="7" t="inlineStr">
        <is>
          <t>Назначение</t>
        </is>
      </c>
    </row>
    <row r="8" ht="14" customHeight="1">
      <c r="A8" s="8" t="n"/>
      <c r="B8" s="9" t="n"/>
      <c r="C8" s="10" t="n"/>
      <c r="D8" s="9" t="n"/>
      <c r="E8" s="28" t="n"/>
      <c r="F8" s="28">
        <f>IF(E8="","",E8*Данные!$B$7)</f>
        <v/>
      </c>
      <c r="G8" s="10" t="n"/>
    </row>
    <row r="9" ht="14" customHeight="1">
      <c r="A9" s="8" t="n"/>
      <c r="B9" s="9" t="n"/>
      <c r="C9" s="10" t="n"/>
      <c r="D9" s="9" t="n"/>
      <c r="E9" s="28" t="n"/>
      <c r="F9" s="28">
        <f>IF(E9="","",E9*Данные!$B$7)</f>
        <v/>
      </c>
      <c r="G9" s="10" t="n"/>
    </row>
    <row r="10" ht="14" customHeight="1">
      <c r="A10" s="8" t="n"/>
      <c r="B10" s="9" t="n"/>
      <c r="C10" s="10" t="n"/>
      <c r="D10" s="9" t="n"/>
      <c r="E10" s="28" t="n"/>
      <c r="F10" s="28">
        <f>IF(E10="","",E10*Данные!$B$7)</f>
        <v/>
      </c>
      <c r="G10" s="10" t="n"/>
    </row>
    <row r="11" ht="14" customHeight="1">
      <c r="A11" s="8" t="n"/>
      <c r="B11" s="9" t="n"/>
      <c r="C11" s="10" t="n"/>
      <c r="D11" s="9" t="n"/>
      <c r="E11" s="28" t="n"/>
      <c r="F11" s="28">
        <f>IF(E11="","",E11*Данные!$B$7)</f>
        <v/>
      </c>
      <c r="G11" s="10" t="n"/>
    </row>
    <row r="12" ht="14" customHeight="1">
      <c r="A12" s="8" t="n"/>
      <c r="B12" s="9" t="n"/>
      <c r="C12" s="10" t="n"/>
      <c r="D12" s="9" t="n"/>
      <c r="E12" s="28" t="n"/>
      <c r="F12" s="28">
        <f>IF(E12="","",E12*Данные!$B$7)</f>
        <v/>
      </c>
      <c r="G12" s="10" t="n"/>
    </row>
    <row r="14">
      <c r="A14" s="19" t="inlineStr">
        <is>
          <t>Технологические указания и требования участка:</t>
        </is>
      </c>
    </row>
    <row r="15" ht="14.9" customHeight="1">
      <c r="A15" s="20" t="inlineStr">
        <is>
          <t>•  Покупные изделия выдаются со склада ТМЦ на участки согласно графе «Назначение».</t>
        </is>
      </c>
    </row>
    <row r="17">
      <c r="A17" s="21" t="inlineStr">
        <is>
          <t>Нач. КТО:</t>
        </is>
      </c>
      <c r="E17" s="21" t="inlineStr">
        <is>
          <t>Заведующий складом ТМЦ:</t>
        </is>
      </c>
    </row>
    <row r="18" ht="22" customHeight="1">
      <c r="A18" s="22">
        <f>"____________________ / "&amp;Данные!B4</f>
        <v/>
      </c>
      <c r="E18" s="22" t="inlineStr">
        <is>
          <t>____________________ / 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6"/>
  <mergeCells count="14">
    <mergeCell ref="F2:G2"/>
    <mergeCell ref="A14:G14"/>
    <mergeCell ref="A17:D17"/>
    <mergeCell ref="A18:D18"/>
    <mergeCell ref="A2:E2"/>
    <mergeCell ref="A6:G6"/>
    <mergeCell ref="A1:F1"/>
    <mergeCell ref="A3:D3"/>
    <mergeCell ref="G1"/>
    <mergeCell ref="E17:G17"/>
    <mergeCell ref="E18:G18"/>
    <mergeCell ref="A15:G15"/>
    <mergeCell ref="E3:G3"/>
    <mergeCell ref="A5:G5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&amp;R&amp;8 &amp;A,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9" customWidth="1" min="3" max="3"/>
    <col width="8" customWidth="1" min="4" max="4"/>
    <col width="9" customWidth="1" min="5" max="5"/>
    <col width="9" customWidth="1" min="6" max="6"/>
    <col width="7" customWidth="1" min="7" max="7"/>
    <col width="25" customWidth="1" min="8" max="8"/>
    <col width="8" customWidth="1" min="9" max="9"/>
  </cols>
  <sheetData>
    <row r="1" ht="20" customHeight="1">
      <c r="A1" s="3">
        <f>Данные!B1&amp;" | Производственная заявка"</f>
        <v/>
      </c>
      <c r="H1" s="4">
        <f>"Дата: "&amp;Данные!B2</f>
        <v/>
      </c>
    </row>
    <row r="2" ht="20" customHeight="1">
      <c r="A2" s="5">
        <f>"№ заявки: "&amp;Данные!B3</f>
        <v/>
      </c>
      <c r="H2" s="4">
        <f>"Нач. КТО: "&amp;Данные!B4</f>
        <v/>
      </c>
    </row>
    <row r="3" ht="20" customHeight="1">
      <c r="A3" s="5">
        <f>"Изделие: "&amp;Данные!B5</f>
        <v/>
      </c>
      <c r="F3" s="4">
        <f>"Шифр: "&amp;Данные!B6&amp;"  |  Кол-во: "&amp;Данные!B7&amp;" шт."</f>
        <v/>
      </c>
    </row>
    <row r="4" ht="6" customHeight="1"/>
    <row r="5" ht="18.8" customHeight="1">
      <c r="A5" t="inlineStr">
        <is>
          <r>
            <rPr>
              <rFont val="Arial"/>
              <b val="1"/>
              <color rgb="001F4FD8"/>
              <sz val="12"/>
            </rPr>
            <t xml:space="preserve">ЛИСТ 5  </t>
          </r>
          <r>
            <rPr>
              <rFont val="Arial"/>
              <b val="1"/>
              <sz val="12"/>
            </rPr>
            <t>5. СВОДНАЯ ВЕДОМОСТЬ РАСХОДА И СПИСАНИЯ ТМЦ</t>
          </r>
        </is>
      </c>
    </row>
    <row r="6">
      <c r="A6" s="6" t="inlineStr">
        <is>
          <t>Расчет потребности в хлыстах, КИМ, деловых обрезков и технологического отхода по справочнику «Нормативы производства»</t>
        </is>
      </c>
    </row>
    <row r="7" ht="38.6" customHeight="1">
      <c r="A7" s="7" t="inlineStr">
        <is>
          <t>№</t>
        </is>
      </c>
      <c r="B7" s="7" t="inlineStr">
        <is>
          <t>Сортамент и ГОСТ</t>
        </is>
      </c>
      <c r="C7" s="7" t="inlineStr">
        <is>
          <t>Чистый расход, м</t>
        </is>
      </c>
      <c r="D7" s="7" t="inlineStr">
        <is>
          <t>Хлыстов</t>
        </is>
      </c>
      <c r="E7" s="7" t="inlineStr">
        <is>
          <t>Расход с уч. техн., м</t>
        </is>
      </c>
      <c r="F7" s="7" t="inlineStr">
        <is>
          <t>Расход с уч. техн., кг</t>
        </is>
      </c>
      <c r="G7" s="7" t="inlineStr">
        <is>
          <t>КИМ, %</t>
        </is>
      </c>
      <c r="H7" s="7" t="inlineStr">
        <is>
          <t>Деловые обрезки</t>
        </is>
      </c>
      <c r="I7" s="7" t="inlineStr">
        <is>
          <t>Отход, кг</t>
        </is>
      </c>
    </row>
    <row r="8" ht="14" customHeight="1">
      <c r="A8" s="8" t="n"/>
      <c r="B8" s="10" t="n"/>
      <c r="C8" s="11" t="n"/>
      <c r="D8" s="28" t="n"/>
      <c r="E8" s="11" t="n"/>
      <c r="F8" s="11" t="n"/>
      <c r="G8" s="29" t="n"/>
      <c r="H8" s="10" t="n"/>
      <c r="I8" s="11" t="n"/>
    </row>
    <row r="9" ht="14" customHeight="1">
      <c r="A9" s="8" t="n"/>
      <c r="B9" s="10" t="n"/>
      <c r="C9" s="11" t="n"/>
      <c r="D9" s="28" t="n"/>
      <c r="E9" s="11" t="n"/>
      <c r="F9" s="11" t="n"/>
      <c r="G9" s="29" t="n"/>
      <c r="H9" s="10" t="n"/>
      <c r="I9" s="11" t="n"/>
    </row>
    <row r="10" ht="14" customHeight="1">
      <c r="A10" s="8" t="n"/>
      <c r="B10" s="10" t="n"/>
      <c r="C10" s="11" t="n"/>
      <c r="D10" s="28" t="n"/>
      <c r="E10" s="11" t="n"/>
      <c r="F10" s="11" t="n"/>
      <c r="G10" s="29" t="n"/>
      <c r="H10" s="10" t="n"/>
      <c r="I10" s="11" t="n"/>
    </row>
    <row r="11" ht="14" customHeight="1">
      <c r="A11" s="8" t="n"/>
      <c r="B11" s="10" t="n"/>
      <c r="C11" s="11" t="n"/>
      <c r="D11" s="28" t="n"/>
      <c r="E11" s="11" t="n"/>
      <c r="F11" s="11" t="n"/>
      <c r="G11" s="29" t="n"/>
      <c r="H11" s="10" t="n"/>
      <c r="I11" s="11" t="n"/>
    </row>
    <row r="12" ht="14" customHeight="1">
      <c r="A12" s="8" t="n"/>
      <c r="B12" s="10" t="n"/>
      <c r="C12" s="11" t="n"/>
      <c r="D12" s="28" t="n"/>
      <c r="E12" s="11" t="n"/>
      <c r="F12" s="11" t="n"/>
      <c r="G12" s="29" t="n"/>
      <c r="H12" s="10" t="n"/>
      <c r="I12" s="11" t="n"/>
    </row>
    <row r="13" ht="18" customHeight="1">
      <c r="A13" s="14" t="inlineStr">
        <is>
          <t>ИТОГО МЕТАЛЛОПРОКАТ НА ЗАКАЗ</t>
        </is>
      </c>
      <c r="B13" s="15" t="n"/>
      <c r="C13" s="30">
        <f>SUM(C8:C12)</f>
        <v/>
      </c>
      <c r="D13" s="18" t="n"/>
      <c r="E13" s="30">
        <f>SUM(E8:E12)</f>
        <v/>
      </c>
      <c r="F13" s="30">
        <f>SUM(F8:F12)</f>
        <v/>
      </c>
      <c r="G13" s="31" t="n"/>
      <c r="H13" s="18" t="n"/>
      <c r="I13" s="30">
        <f>SUM(I8:I12)</f>
        <v/>
      </c>
    </row>
    <row r="15">
      <c r="A15" s="19" t="inlineStr">
        <is>
          <t>Технологические указания и требования участка:</t>
        </is>
      </c>
    </row>
    <row r="16" ht="14.9" customHeight="1">
      <c r="A16" s="20" t="inlineStr">
        <is>
          <t>•  Технологический отход металла (торцовка, рез и обрезки короче делового) подлежит сдаче в металлолом.</t>
        </is>
      </c>
    </row>
    <row r="18">
      <c r="A18" s="21" t="inlineStr">
        <is>
          <t>Нач. КТО:</t>
        </is>
      </c>
      <c r="D18" s="21" t="inlineStr">
        <is>
          <t>Начальник производства:</t>
        </is>
      </c>
      <c r="G18" s="21" t="inlineStr">
        <is>
          <t>Заведующий складом ТМЦ:</t>
        </is>
      </c>
    </row>
    <row r="19" ht="22" customHeight="1">
      <c r="A19" s="22">
        <f>"____________ / "&amp;Данные!B4</f>
        <v/>
      </c>
      <c r="D19" s="22" t="inlineStr">
        <is>
          <t>____________ / ____________</t>
        </is>
      </c>
      <c r="G19" s="22" t="inlineStr">
        <is>
          <t>____________ / 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6"/>
  <mergeCells count="17">
    <mergeCell ref="A15:I15"/>
    <mergeCell ref="D19:F19"/>
    <mergeCell ref="A19:C19"/>
    <mergeCell ref="H2:I2"/>
    <mergeCell ref="A1:G1"/>
    <mergeCell ref="A5:I5"/>
    <mergeCell ref="G19:I19"/>
    <mergeCell ref="F3:I3"/>
    <mergeCell ref="H1:I1"/>
    <mergeCell ref="D18:F18"/>
    <mergeCell ref="A18:C18"/>
    <mergeCell ref="A13:B13"/>
    <mergeCell ref="A2:G2"/>
    <mergeCell ref="G18:I18"/>
    <mergeCell ref="A6:I6"/>
    <mergeCell ref="A16:I16"/>
    <mergeCell ref="A3:E3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&amp;R&amp;8 &amp;A,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2026-09-15T06:04:01Z</dcterms:created>
  <dcterms:modified xsi:type="dcterms:W3CDTF">2026-09-15T06:04:01Z</dcterms:modified>
</cp:coreProperties>
</file>